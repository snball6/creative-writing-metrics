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d7a48ca9db46ee7/Documents/Github/creative-writing-metrics/python-timesheet-parsing/sample_timesheets/"/>
    </mc:Choice>
  </mc:AlternateContent>
  <xr:revisionPtr revIDLastSave="6" documentId="11_1E16EE5F542014F7BECFD5617874166C965AACCA" xr6:coauthVersionLast="47" xr6:coauthVersionMax="47" xr10:uidLastSave="{2923DD60-8B42-44D6-818B-DC9D9821435F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L15" i="1" l="1"/>
  <c r="L14" i="1"/>
  <c r="L13" i="1"/>
  <c r="L12" i="1"/>
  <c r="L11" i="1"/>
  <c r="C37" i="1"/>
  <c r="K32" i="1"/>
  <c r="J32" i="1"/>
  <c r="I32" i="1"/>
  <c r="H32" i="1"/>
  <c r="G32" i="1"/>
  <c r="F32" i="1"/>
  <c r="E32" i="1"/>
  <c r="L30" i="1"/>
  <c r="L28" i="1"/>
  <c r="L26" i="1"/>
  <c r="L18" i="1"/>
  <c r="L17" i="1"/>
  <c r="L16" i="1"/>
  <c r="L10" i="1"/>
  <c r="L9" i="1"/>
  <c r="L8" i="1"/>
  <c r="L7" i="1"/>
  <c r="K5" i="1"/>
  <c r="J5" i="1" s="1"/>
  <c r="I5" i="1" s="1"/>
  <c r="H5" i="1" s="1"/>
  <c r="G5" i="1" s="1"/>
  <c r="F5" i="1" s="1"/>
  <c r="E5" i="1" s="1"/>
  <c r="L31" i="1" l="1"/>
  <c r="L20" i="1"/>
  <c r="K34" i="1" s="1"/>
  <c r="K37" i="1" s="1"/>
  <c r="L32" i="1"/>
</calcChain>
</file>

<file path=xl/sharedStrings.xml><?xml version="1.0" encoding="utf-8"?>
<sst xmlns="http://schemas.openxmlformats.org/spreadsheetml/2006/main" count="75" uniqueCount="50">
  <si>
    <t>Name:</t>
  </si>
  <si>
    <t>Sarah Ball</t>
  </si>
  <si>
    <t>Week Ending:</t>
  </si>
  <si>
    <t>Company</t>
  </si>
  <si>
    <t>Project Code</t>
  </si>
  <si>
    <t xml:space="preserve">Role and Story Card </t>
  </si>
  <si>
    <t>Sat</t>
  </si>
  <si>
    <t>Sun</t>
  </si>
  <si>
    <t>Mon</t>
  </si>
  <si>
    <t>Tue</t>
  </si>
  <si>
    <t>Wed</t>
  </si>
  <si>
    <t>Thu</t>
  </si>
  <si>
    <t>Fri</t>
  </si>
  <si>
    <t>TOTAL HOURS</t>
  </si>
  <si>
    <t>SOW021</t>
  </si>
  <si>
    <t>Billable Subtotal:</t>
  </si>
  <si>
    <t>Non-billable Client Related Hours</t>
  </si>
  <si>
    <t>NBCR Subtotal:</t>
  </si>
  <si>
    <t>Menlo Experience Hours</t>
  </si>
  <si>
    <t>Experience Subtotal:</t>
  </si>
  <si>
    <t>Menlo Internal Support Hours</t>
  </si>
  <si>
    <t>Menlo</t>
  </si>
  <si>
    <t>OPS</t>
  </si>
  <si>
    <t>Timesheet</t>
  </si>
  <si>
    <t>Peronnel</t>
  </si>
  <si>
    <t>Thursday lunch - HTA workshop prep</t>
  </si>
  <si>
    <t>Holiday</t>
  </si>
  <si>
    <t>Internal Support Subtotal:</t>
  </si>
  <si>
    <t>Daily totals:</t>
  </si>
  <si>
    <t>I certify that this is an accurate and complete record of work-related time.</t>
  </si>
  <si>
    <t>Signature:</t>
  </si>
  <si>
    <t>Front office approval:</t>
  </si>
  <si>
    <t>Hours worked:</t>
  </si>
  <si>
    <t>PTO:</t>
  </si>
  <si>
    <t>Furlough:</t>
  </si>
  <si>
    <t>Date:</t>
  </si>
  <si>
    <t>Total hours:</t>
  </si>
  <si>
    <t>Client1</t>
  </si>
  <si>
    <t>Osprey Dev - Env</t>
  </si>
  <si>
    <t>Osprey Dev - KIK</t>
  </si>
  <si>
    <t>Osprey Dev - MCR</t>
  </si>
  <si>
    <t>Osprey Dev - STU</t>
  </si>
  <si>
    <t>Osprey Dev - 76526</t>
  </si>
  <si>
    <t>Osprey Dev - 77589</t>
  </si>
  <si>
    <t>Osprey Dev - 78661</t>
  </si>
  <si>
    <t>Osprey Dev - 66555</t>
  </si>
  <si>
    <t>Osprey Dev - 66568</t>
  </si>
  <si>
    <t>Osprey Dev - 67185</t>
  </si>
  <si>
    <t>Osprey Dev - 68159</t>
  </si>
  <si>
    <t>Osprey Dev - 71566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</si>
</sst>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"/>
    <numFmt numFmtId="166" formatCode="#,##0.00;\(#,##0.00\)"/>
  </numFmts>
  <fonts count="11">
    <font>
      <sz val="11"/>
      <color theme="1"/>
      <name val="Calibri"/>
      <scheme val="minor"/>
    </font>
    <font>
      <sz val="10"/>
      <color rgb="FF000000"/>
      <name val="Arial Narrow"/>
    </font>
    <font>
      <sz val="11"/>
      <color rgb="FF000000"/>
      <name val="Arial Narrow"/>
    </font>
    <font>
      <sz val="11"/>
      <color rgb="FF000000"/>
      <name val="Calibri"/>
      <scheme val="minor"/>
    </font>
    <font>
      <sz val="9"/>
      <color rgb="FF000000"/>
      <name val="Arial Narrow"/>
    </font>
    <font>
      <sz val="12"/>
      <color rgb="FF000000"/>
      <name val="Arial Narrow"/>
    </font>
    <font>
      <sz val="11"/>
      <name val="Calibri"/>
    </font>
    <font>
      <sz val="13"/>
      <color rgb="FF000000"/>
      <name val="Arial Narrow"/>
    </font>
    <font>
      <i/>
      <sz val="12"/>
      <color rgb="FF000000"/>
      <name val="Arial Narrow"/>
    </font>
    <font>
      <sz val="11"/>
      <color rgb="FF000000"/>
      <name val="Arial"/>
    </font>
    <font>
      <sz val="6"/>
      <color rgb="FF000000"/>
      <name val="Arial Narrow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</fills>
  <borders count="46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thin">
        <color rgb="FF000000"/>
      </left>
      <right/>
      <top style="thin">
        <color rgb="FF003300"/>
      </top>
      <bottom style="thin">
        <color rgb="FF0033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80808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medium">
        <color rgb="FF80808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3300"/>
      </left>
      <right style="thin">
        <color rgb="FF003300"/>
      </right>
      <top/>
      <bottom style="thin">
        <color rgb="FF003300"/>
      </bottom>
      <diagonal/>
    </border>
    <border>
      <left style="thin">
        <color rgb="FF000000"/>
      </left>
      <right/>
      <top style="thin">
        <color rgb="FF003300"/>
      </top>
      <bottom style="thin">
        <color rgb="FF003300"/>
      </bottom>
      <diagonal/>
    </border>
    <border>
      <left/>
      <right/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medium">
        <color rgb="FF808080"/>
      </right>
      <top/>
      <bottom/>
      <diagonal/>
    </border>
    <border>
      <left style="thin">
        <color rgb="FF0000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/>
      <top/>
      <bottom style="thin">
        <color rgb="FF003300"/>
      </bottom>
      <diagonal/>
    </border>
    <border>
      <left/>
      <right/>
      <top style="thin">
        <color rgb="FF003300"/>
      </top>
      <bottom/>
      <diagonal/>
    </border>
    <border>
      <left/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00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 style="medium">
        <color rgb="FF808080"/>
      </right>
      <top/>
      <bottom/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 style="thin">
        <color rgb="FF000000"/>
      </left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/>
      <top style="thin">
        <color rgb="FF003300"/>
      </top>
      <bottom/>
      <diagonal/>
    </border>
    <border>
      <left/>
      <right style="thin">
        <color rgb="FF000000"/>
      </right>
      <top style="thin">
        <color rgb="FF0033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808080"/>
      </right>
      <top/>
      <bottom/>
      <diagonal/>
    </border>
    <border>
      <left style="thin">
        <color rgb="FF000000"/>
      </left>
      <right style="thin">
        <color rgb="FF003300"/>
      </right>
      <top/>
      <bottom/>
      <diagonal/>
    </border>
    <border>
      <left style="thin">
        <color rgb="FF0033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3300"/>
      </right>
      <top/>
      <bottom style="thin">
        <color rgb="FF003300"/>
      </bottom>
      <diagonal/>
    </border>
    <border>
      <left/>
      <right style="thin">
        <color rgb="FF000000"/>
      </right>
      <top/>
      <bottom style="thin">
        <color rgb="FF003300"/>
      </bottom>
      <diagonal/>
    </border>
    <border>
      <left/>
      <right/>
      <top/>
      <bottom style="medium">
        <color rgb="FF999999"/>
      </bottom>
      <diagonal/>
    </border>
    <border>
      <left/>
      <right/>
      <top style="thin">
        <color rgb="FF000000"/>
      </top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4" fillId="0" borderId="0" xfId="0" applyFont="1"/>
    <xf numFmtId="49" fontId="7" fillId="3" borderId="9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/>
    </xf>
    <xf numFmtId="49" fontId="7" fillId="3" borderId="16" xfId="0" applyNumberFormat="1" applyFont="1" applyFill="1" applyBorder="1" applyAlignment="1">
      <alignment horizontal="center" vertical="center" wrapText="1"/>
    </xf>
    <xf numFmtId="165" fontId="5" fillId="3" borderId="11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5" fillId="5" borderId="20" xfId="0" applyNumberFormat="1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166" fontId="5" fillId="2" borderId="12" xfId="0" applyNumberFormat="1" applyFont="1" applyFill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6" borderId="1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2" fontId="5" fillId="7" borderId="25" xfId="0" applyNumberFormat="1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left" vertical="center"/>
    </xf>
    <xf numFmtId="166" fontId="5" fillId="8" borderId="28" xfId="0" applyNumberFormat="1" applyFont="1" applyFill="1" applyBorder="1" applyAlignment="1">
      <alignment horizontal="center" vertical="center"/>
    </xf>
    <xf numFmtId="2" fontId="5" fillId="8" borderId="28" xfId="0" applyNumberFormat="1" applyFont="1" applyFill="1" applyBorder="1" applyAlignment="1">
      <alignment horizontal="center" vertical="center"/>
    </xf>
    <xf numFmtId="2" fontId="5" fillId="5" borderId="29" xfId="0" applyNumberFormat="1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9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14" fontId="9" fillId="0" borderId="0" xfId="0" applyNumberFormat="1" applyFont="1"/>
    <xf numFmtId="2" fontId="5" fillId="7" borderId="1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66" fontId="5" fillId="6" borderId="12" xfId="0" applyNumberFormat="1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left" vertical="center"/>
    </xf>
    <xf numFmtId="0" fontId="8" fillId="0" borderId="31" xfId="0" applyFont="1" applyBorder="1"/>
    <xf numFmtId="0" fontId="8" fillId="0" borderId="0" xfId="0" applyFont="1"/>
    <xf numFmtId="0" fontId="5" fillId="0" borderId="0" xfId="0" applyFont="1" applyAlignment="1">
      <alignment wrapText="1"/>
    </xf>
    <xf numFmtId="0" fontId="5" fillId="0" borderId="23" xfId="0" applyFont="1" applyBorder="1" applyAlignment="1">
      <alignment wrapText="1"/>
    </xf>
    <xf numFmtId="0" fontId="1" fillId="0" borderId="23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/>
    </xf>
    <xf numFmtId="0" fontId="5" fillId="0" borderId="33" xfId="0" applyFont="1" applyBorder="1" applyAlignment="1">
      <alignment horizontal="center" vertical="center"/>
    </xf>
    <xf numFmtId="0" fontId="5" fillId="5" borderId="37" xfId="0" applyFont="1" applyFill="1" applyBorder="1" applyAlignment="1">
      <alignment horizontal="left" vertical="center"/>
    </xf>
    <xf numFmtId="0" fontId="5" fillId="0" borderId="3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164" fontId="5" fillId="0" borderId="33" xfId="0" applyNumberFormat="1" applyFont="1" applyBorder="1" applyAlignment="1">
      <alignment horizontal="left" vertical="center"/>
    </xf>
    <xf numFmtId="0" fontId="4" fillId="0" borderId="43" xfId="0" applyFont="1" applyBorder="1"/>
    <xf numFmtId="0" fontId="10" fillId="0" borderId="44" xfId="0" applyFont="1" applyBorder="1"/>
    <xf numFmtId="0" fontId="4" fillId="0" borderId="44" xfId="0" applyFont="1" applyBorder="1" applyAlignment="1">
      <alignment horizontal="center"/>
    </xf>
    <xf numFmtId="0" fontId="4" fillId="0" borderId="44" xfId="0" applyFont="1" applyBorder="1"/>
    <xf numFmtId="0" fontId="4" fillId="0" borderId="45" xfId="0" applyFont="1" applyBorder="1"/>
    <xf numFmtId="0" fontId="2" fillId="0" borderId="4" xfId="0" applyFont="1" applyBorder="1" applyAlignment="1">
      <alignment horizontal="right" vertical="center"/>
    </xf>
    <xf numFmtId="0" fontId="6" fillId="0" borderId="5" xfId="0" applyFont="1" applyBorder="1"/>
    <xf numFmtId="0" fontId="6" fillId="0" borderId="6" xfId="0" applyFont="1" applyBorder="1"/>
    <xf numFmtId="2" fontId="2" fillId="6" borderId="4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6" fillId="0" borderId="35" xfId="0" applyFont="1" applyBorder="1"/>
    <xf numFmtId="0" fontId="6" fillId="0" borderId="36" xfId="0" applyFont="1" applyBorder="1"/>
    <xf numFmtId="2" fontId="2" fillId="7" borderId="4" xfId="0" applyNumberFormat="1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5" fillId="0" borderId="23" xfId="0" applyFont="1" applyBorder="1" applyAlignment="1">
      <alignment horizontal="right" vertical="center"/>
    </xf>
    <xf numFmtId="0" fontId="6" fillId="0" borderId="23" xfId="0" applyFont="1" applyBorder="1"/>
    <xf numFmtId="0" fontId="6" fillId="0" borderId="24" xfId="0" applyFont="1" applyBorder="1"/>
    <xf numFmtId="0" fontId="5" fillId="0" borderId="32" xfId="0" applyFont="1" applyBorder="1" applyAlignment="1">
      <alignment horizontal="right" vertical="center"/>
    </xf>
    <xf numFmtId="0" fontId="6" fillId="0" borderId="38" xfId="0" applyFont="1" applyBorder="1"/>
    <xf numFmtId="0" fontId="6" fillId="0" borderId="41" xfId="0" applyFont="1" applyBorder="1"/>
    <xf numFmtId="0" fontId="5" fillId="2" borderId="33" xfId="0" applyFont="1" applyFill="1" applyBorder="1" applyAlignment="1">
      <alignment horizontal="left" vertical="top"/>
    </xf>
    <xf numFmtId="0" fontId="6" fillId="0" borderId="34" xfId="0" applyFont="1" applyBorder="1"/>
    <xf numFmtId="0" fontId="6" fillId="0" borderId="39" xfId="0" applyFont="1" applyBorder="1"/>
    <xf numFmtId="0" fontId="0" fillId="0" borderId="0" xfId="0"/>
    <xf numFmtId="0" fontId="6" fillId="0" borderId="40" xfId="0" applyFont="1" applyBorder="1"/>
    <xf numFmtId="0" fontId="6" fillId="0" borderId="22" xfId="0" applyFont="1" applyBorder="1"/>
    <xf numFmtId="0" fontId="6" fillId="0" borderId="31" xfId="0" applyFont="1" applyBorder="1"/>
    <xf numFmtId="0" fontId="6" fillId="0" borderId="42" xfId="0" applyFont="1" applyBorder="1"/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left"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0" fontId="6" fillId="0" borderId="15" xfId="0" applyFont="1" applyBorder="1"/>
    <xf numFmtId="0" fontId="5" fillId="3" borderId="13" xfId="0" applyFont="1" applyFill="1" applyBorder="1" applyAlignment="1">
      <alignment horizontal="center" vertical="center" wrapText="1"/>
    </xf>
    <xf numFmtId="0" fontId="6" fillId="0" borderId="17" xfId="0" applyFont="1" applyBorder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180975</xdr:colOff>
      <xdr:row>33</xdr:row>
      <xdr:rowOff>85725</xdr:rowOff>
    </xdr:from>
    <xdr:ext cx="1200150" cy="5048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0"/>
  <sheetViews>
    <sheetView tabSelected="1" workbookViewId="0">
      <selection activeCell="O11" sqref="O11"/>
    </sheetView>
  </sheetViews>
  <sheetFormatPr defaultColWidth="14.42578125" defaultRowHeight="15" customHeight="1"/>
  <cols>
    <col min="1" max="1" width="3" customWidth="1"/>
    <col min="2" max="2" width="25.85546875" customWidth="1"/>
    <col min="3" max="3" width="32.7109375" customWidth="1"/>
    <col min="4" max="4" width="46.7109375" bestFit="1" customWidth="1"/>
    <col min="5" max="11" width="8.140625" customWidth="1"/>
    <col min="12" max="13" width="9.140625" customWidth="1"/>
    <col min="14" max="14" width="8.7109375" customWidth="1"/>
    <col min="15" max="16" width="29.28515625" customWidth="1"/>
    <col min="17" max="25" width="8.7109375" customWidth="1"/>
  </cols>
  <sheetData>
    <row r="1" spans="1:25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.5" customHeight="1">
      <c r="A2" s="6"/>
      <c r="B2" s="7" t="s">
        <v>0</v>
      </c>
      <c r="C2" s="87" t="s">
        <v>1</v>
      </c>
      <c r="D2" s="64"/>
      <c r="E2" s="64"/>
      <c r="F2" s="64"/>
      <c r="G2" s="64"/>
      <c r="H2" s="64"/>
      <c r="I2" s="64"/>
      <c r="J2" s="64"/>
      <c r="K2" s="64"/>
      <c r="L2" s="65"/>
      <c r="M2" s="8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.5" customHeight="1">
      <c r="A3" s="6"/>
      <c r="B3" s="7" t="s">
        <v>2</v>
      </c>
      <c r="C3" s="88">
        <v>45555</v>
      </c>
      <c r="D3" s="64"/>
      <c r="E3" s="64"/>
      <c r="F3" s="64"/>
      <c r="G3" s="64"/>
      <c r="H3" s="64"/>
      <c r="I3" s="64"/>
      <c r="J3" s="64"/>
      <c r="K3" s="64"/>
      <c r="L3" s="65"/>
      <c r="M3" s="8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9"/>
      <c r="B4" s="89" t="s">
        <v>3</v>
      </c>
      <c r="C4" s="10" t="s">
        <v>4</v>
      </c>
      <c r="D4" s="11" t="s">
        <v>5</v>
      </c>
      <c r="E4" s="12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91" t="s">
        <v>13</v>
      </c>
      <c r="M4" s="1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9"/>
      <c r="B5" s="90"/>
      <c r="C5" s="15"/>
      <c r="D5" s="15"/>
      <c r="E5" s="16">
        <f t="shared" ref="E5:J5" si="0">IF(($C$3=""),"",(F5-1))</f>
        <v>45549</v>
      </c>
      <c r="F5" s="17">
        <f t="shared" si="0"/>
        <v>45550</v>
      </c>
      <c r="G5" s="17">
        <f t="shared" si="0"/>
        <v>45551</v>
      </c>
      <c r="H5" s="17">
        <f t="shared" si="0"/>
        <v>45552</v>
      </c>
      <c r="I5" s="17">
        <f t="shared" si="0"/>
        <v>45553</v>
      </c>
      <c r="J5" s="17">
        <f t="shared" si="0"/>
        <v>45554</v>
      </c>
      <c r="K5" s="17">
        <f>IF(($C$3=""),"",C3)</f>
        <v>45555</v>
      </c>
      <c r="L5" s="92"/>
      <c r="M5" s="14"/>
      <c r="N5" s="4"/>
      <c r="O5" s="93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4.5" customHeight="1">
      <c r="A6" s="18"/>
      <c r="B6" s="19"/>
      <c r="C6" s="20"/>
      <c r="D6" s="20"/>
      <c r="E6" s="20"/>
      <c r="F6" s="20"/>
      <c r="G6" s="20"/>
      <c r="H6" s="20"/>
      <c r="I6" s="20"/>
      <c r="J6" s="20"/>
      <c r="K6" s="20"/>
      <c r="L6" s="21"/>
      <c r="M6" s="22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8" customHeight="1">
      <c r="A7" s="18"/>
      <c r="B7" s="23" t="s">
        <v>37</v>
      </c>
      <c r="C7" s="24" t="s">
        <v>14</v>
      </c>
      <c r="D7" s="25" t="s">
        <v>38</v>
      </c>
      <c r="E7" s="26"/>
      <c r="F7" s="26"/>
      <c r="G7" s="27"/>
      <c r="H7" s="27"/>
      <c r="I7" s="27">
        <v>0.25</v>
      </c>
      <c r="J7" s="27"/>
      <c r="K7" s="27"/>
      <c r="L7" s="28">
        <f t="shared" ref="L7:L18" si="1">SUM(E7:K7)</f>
        <v>0.25</v>
      </c>
      <c r="M7" s="22"/>
      <c r="N7" s="4"/>
      <c r="O7" s="93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8" customHeight="1">
      <c r="A8" s="18"/>
      <c r="B8" s="23" t="s">
        <v>37</v>
      </c>
      <c r="C8" s="24" t="s">
        <v>14</v>
      </c>
      <c r="D8" s="25" t="s">
        <v>39</v>
      </c>
      <c r="E8" s="26"/>
      <c r="F8" s="26"/>
      <c r="G8" s="27"/>
      <c r="H8" s="27">
        <v>0.5</v>
      </c>
      <c r="I8" s="27">
        <v>0.5</v>
      </c>
      <c r="J8" s="27">
        <v>0.5</v>
      </c>
      <c r="K8" s="27"/>
      <c r="L8" s="28">
        <f t="shared" si="1"/>
        <v>1.5</v>
      </c>
      <c r="M8" s="22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8" customHeight="1">
      <c r="A9" s="18"/>
      <c r="B9" s="23" t="s">
        <v>37</v>
      </c>
      <c r="C9" s="24" t="s">
        <v>14</v>
      </c>
      <c r="D9" s="25" t="s">
        <v>40</v>
      </c>
      <c r="E9" s="26"/>
      <c r="F9" s="26"/>
      <c r="G9" s="27"/>
      <c r="H9" s="27">
        <v>0.25</v>
      </c>
      <c r="I9" s="27"/>
      <c r="J9" s="27">
        <v>0.75</v>
      </c>
      <c r="K9" s="27"/>
      <c r="L9" s="28">
        <f t="shared" si="1"/>
        <v>1</v>
      </c>
      <c r="M9" s="22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8" customHeight="1">
      <c r="A10" s="18"/>
      <c r="B10" s="23" t="s">
        <v>37</v>
      </c>
      <c r="C10" s="24" t="s">
        <v>14</v>
      </c>
      <c r="D10" s="25" t="s">
        <v>41</v>
      </c>
      <c r="E10" s="26"/>
      <c r="F10" s="26"/>
      <c r="G10" s="27"/>
      <c r="H10" s="27">
        <v>0.25</v>
      </c>
      <c r="I10" s="27">
        <v>0.25</v>
      </c>
      <c r="J10" s="27">
        <v>0.25</v>
      </c>
      <c r="K10" s="27"/>
      <c r="L10" s="28">
        <f t="shared" si="1"/>
        <v>0.75</v>
      </c>
      <c r="M10" s="22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8" customHeight="1">
      <c r="A11" s="18"/>
      <c r="B11" s="23" t="s">
        <v>37</v>
      </c>
      <c r="C11" s="24" t="s">
        <v>14</v>
      </c>
      <c r="D11" s="25" t="s">
        <v>45</v>
      </c>
      <c r="E11" s="26"/>
      <c r="F11" s="26"/>
      <c r="G11" s="27"/>
      <c r="H11" s="27"/>
      <c r="I11" s="27"/>
      <c r="J11" s="27">
        <v>1</v>
      </c>
      <c r="K11" s="27"/>
      <c r="L11" s="28">
        <f t="shared" si="1"/>
        <v>1</v>
      </c>
      <c r="M11" s="22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8" customHeight="1">
      <c r="A12" s="18"/>
      <c r="B12" s="23" t="s">
        <v>37</v>
      </c>
      <c r="C12" s="24" t="s">
        <v>14</v>
      </c>
      <c r="D12" s="25" t="s">
        <v>46</v>
      </c>
      <c r="E12" s="26"/>
      <c r="F12" s="26"/>
      <c r="G12" s="27"/>
      <c r="H12" s="27">
        <v>2.5</v>
      </c>
      <c r="I12" s="27"/>
      <c r="J12" s="27">
        <v>1</v>
      </c>
      <c r="K12" s="27"/>
      <c r="L12" s="28">
        <f t="shared" si="1"/>
        <v>3.5</v>
      </c>
      <c r="M12" s="22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8" customHeight="1">
      <c r="A13" s="18"/>
      <c r="B13" s="23" t="s">
        <v>37</v>
      </c>
      <c r="C13" s="24" t="s">
        <v>14</v>
      </c>
      <c r="D13" s="25" t="s">
        <v>47</v>
      </c>
      <c r="E13" s="26"/>
      <c r="F13" s="26"/>
      <c r="G13" s="27"/>
      <c r="H13" s="27">
        <v>0.25</v>
      </c>
      <c r="I13" s="27">
        <v>0.25</v>
      </c>
      <c r="J13" s="27">
        <v>0.25</v>
      </c>
      <c r="K13" s="27"/>
      <c r="L13" s="28">
        <f t="shared" si="1"/>
        <v>0.75</v>
      </c>
      <c r="M13" s="22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8" customHeight="1">
      <c r="A14" s="18"/>
      <c r="B14" s="23" t="s">
        <v>37</v>
      </c>
      <c r="C14" s="24" t="s">
        <v>14</v>
      </c>
      <c r="D14" s="25" t="s">
        <v>48</v>
      </c>
      <c r="E14" s="26"/>
      <c r="F14" s="26"/>
      <c r="G14" s="27"/>
      <c r="H14" s="27"/>
      <c r="I14" s="27">
        <v>0.25</v>
      </c>
      <c r="J14" s="27"/>
      <c r="K14" s="27"/>
      <c r="L14" s="28">
        <f t="shared" si="1"/>
        <v>0.25</v>
      </c>
      <c r="M14" s="22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8" customHeight="1">
      <c r="A15" s="18"/>
      <c r="B15" s="23" t="s">
        <v>37</v>
      </c>
      <c r="C15" s="24" t="s">
        <v>14</v>
      </c>
      <c r="D15" s="25" t="s">
        <v>49</v>
      </c>
      <c r="E15" s="26"/>
      <c r="F15" s="26"/>
      <c r="G15" s="27"/>
      <c r="H15" s="27">
        <v>1</v>
      </c>
      <c r="I15" s="27"/>
      <c r="J15" s="27">
        <v>1.5</v>
      </c>
      <c r="K15" s="27"/>
      <c r="L15" s="28">
        <f t="shared" si="1"/>
        <v>2.5</v>
      </c>
      <c r="M15" s="22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8" customHeight="1">
      <c r="A16" s="18"/>
      <c r="B16" s="23" t="s">
        <v>37</v>
      </c>
      <c r="C16" s="24" t="s">
        <v>14</v>
      </c>
      <c r="D16" s="25" t="s">
        <v>42</v>
      </c>
      <c r="E16" s="26"/>
      <c r="F16" s="26"/>
      <c r="G16" s="27"/>
      <c r="H16" s="27">
        <v>3</v>
      </c>
      <c r="I16" s="27">
        <v>6.25</v>
      </c>
      <c r="J16" s="27">
        <v>2.25</v>
      </c>
      <c r="K16" s="27"/>
      <c r="L16" s="28">
        <f t="shared" si="1"/>
        <v>11.5</v>
      </c>
      <c r="M16" s="22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8" customHeight="1">
      <c r="A17" s="18"/>
      <c r="B17" s="23" t="s">
        <v>37</v>
      </c>
      <c r="C17" s="24" t="s">
        <v>14</v>
      </c>
      <c r="D17" s="25" t="s">
        <v>43</v>
      </c>
      <c r="E17" s="26"/>
      <c r="F17" s="26"/>
      <c r="G17" s="27"/>
      <c r="H17" s="27">
        <v>0.25</v>
      </c>
      <c r="I17" s="27"/>
      <c r="J17" s="27"/>
      <c r="K17" s="27"/>
      <c r="L17" s="28">
        <f t="shared" si="1"/>
        <v>0.25</v>
      </c>
      <c r="M17" s="22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8" customHeight="1">
      <c r="A18" s="18"/>
      <c r="B18" s="23" t="s">
        <v>37</v>
      </c>
      <c r="C18" s="24" t="s">
        <v>14</v>
      </c>
      <c r="D18" s="25" t="s">
        <v>44</v>
      </c>
      <c r="E18" s="26"/>
      <c r="F18" s="26"/>
      <c r="G18" s="27"/>
      <c r="H18" s="27"/>
      <c r="I18" s="27">
        <v>0.25</v>
      </c>
      <c r="J18" s="27"/>
      <c r="K18" s="27"/>
      <c r="L18" s="28">
        <f t="shared" si="1"/>
        <v>0.25</v>
      </c>
      <c r="M18" s="22">
        <v>31.75</v>
      </c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4.5" customHeight="1">
      <c r="A19" s="1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1"/>
      <c r="M19" s="22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.5" customHeight="1">
      <c r="A20" s="6"/>
      <c r="B20" s="73" t="s">
        <v>15</v>
      </c>
      <c r="C20" s="74"/>
      <c r="D20" s="74"/>
      <c r="E20" s="74"/>
      <c r="F20" s="74"/>
      <c r="G20" s="74"/>
      <c r="H20" s="74"/>
      <c r="I20" s="74"/>
      <c r="J20" s="74"/>
      <c r="K20" s="75"/>
      <c r="L20" s="30">
        <f>SUM(L6:L19)</f>
        <v>23.5</v>
      </c>
      <c r="M20" s="22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.5" customHeight="1">
      <c r="A21" s="18"/>
      <c r="B21" s="71" t="s">
        <v>16</v>
      </c>
      <c r="C21" s="72"/>
      <c r="D21" s="31"/>
      <c r="E21" s="32"/>
      <c r="F21" s="32"/>
      <c r="G21" s="33"/>
      <c r="H21" s="33"/>
      <c r="I21" s="33"/>
      <c r="J21" s="33"/>
      <c r="K21" s="33"/>
      <c r="L21" s="33"/>
      <c r="M21" s="34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.5" customHeight="1">
      <c r="A22" s="6"/>
      <c r="B22" s="73" t="s">
        <v>17</v>
      </c>
      <c r="C22" s="74"/>
      <c r="D22" s="74"/>
      <c r="E22" s="74"/>
      <c r="F22" s="74"/>
      <c r="G22" s="74"/>
      <c r="H22" s="74"/>
      <c r="I22" s="74"/>
      <c r="J22" s="74"/>
      <c r="K22" s="75"/>
      <c r="L22" s="30">
        <v>0</v>
      </c>
      <c r="M22" s="35"/>
      <c r="N22" s="4"/>
      <c r="O22" s="5"/>
      <c r="P22" s="5"/>
      <c r="Q22" s="5"/>
      <c r="R22" s="5"/>
      <c r="S22" s="36"/>
      <c r="T22" s="5"/>
      <c r="U22" s="5"/>
      <c r="V22" s="5"/>
      <c r="W22" s="5"/>
      <c r="X22" s="5"/>
      <c r="Y22" s="5"/>
    </row>
    <row r="23" spans="1:25" ht="16.5" customHeight="1">
      <c r="A23" s="18"/>
      <c r="B23" s="71" t="s">
        <v>18</v>
      </c>
      <c r="C23" s="72"/>
      <c r="D23" s="31"/>
      <c r="E23" s="32"/>
      <c r="F23" s="32"/>
      <c r="G23" s="33"/>
      <c r="H23" s="33"/>
      <c r="I23" s="33"/>
      <c r="J23" s="33"/>
      <c r="K23" s="33"/>
      <c r="L23" s="33"/>
      <c r="M23" s="34"/>
      <c r="N23" s="4"/>
      <c r="O23" s="5"/>
      <c r="P23" s="5"/>
      <c r="Q23" s="5"/>
      <c r="R23" s="5"/>
      <c r="S23" s="36"/>
      <c r="T23" s="5"/>
      <c r="U23" s="5"/>
      <c r="V23" s="5"/>
      <c r="W23" s="5"/>
      <c r="X23" s="5"/>
      <c r="Y23" s="5"/>
    </row>
    <row r="24" spans="1:25" ht="16.5" customHeight="1">
      <c r="A24" s="6"/>
      <c r="B24" s="73" t="s">
        <v>19</v>
      </c>
      <c r="C24" s="74"/>
      <c r="D24" s="74"/>
      <c r="E24" s="74"/>
      <c r="F24" s="74"/>
      <c r="G24" s="74"/>
      <c r="H24" s="74"/>
      <c r="I24" s="74"/>
      <c r="J24" s="74"/>
      <c r="K24" s="75"/>
      <c r="L24" s="30">
        <v>0</v>
      </c>
      <c r="M24" s="22"/>
      <c r="N24" s="4"/>
      <c r="O24" s="5"/>
      <c r="P24" s="5"/>
      <c r="Q24" s="5"/>
      <c r="R24" s="5"/>
      <c r="S24" s="36"/>
      <c r="T24" s="5"/>
      <c r="U24" s="5"/>
      <c r="V24" s="5"/>
      <c r="W24" s="5"/>
      <c r="X24" s="5"/>
      <c r="Y24" s="5"/>
    </row>
    <row r="25" spans="1:25" ht="16.5" customHeight="1">
      <c r="A25" s="18"/>
      <c r="B25" s="71" t="s">
        <v>20</v>
      </c>
      <c r="C25" s="72"/>
      <c r="D25" s="31"/>
      <c r="E25" s="32"/>
      <c r="F25" s="32"/>
      <c r="G25" s="33"/>
      <c r="H25" s="33"/>
      <c r="I25" s="33"/>
      <c r="J25" s="33"/>
      <c r="K25" s="33"/>
      <c r="L25" s="33"/>
      <c r="M25" s="34"/>
      <c r="N25" s="4"/>
      <c r="O25" s="5"/>
      <c r="P25" s="5"/>
      <c r="Q25" s="5"/>
      <c r="R25" s="5"/>
      <c r="S25" s="36"/>
      <c r="T25" s="5"/>
      <c r="U25" s="5"/>
      <c r="V25" s="5"/>
      <c r="W25" s="5"/>
      <c r="X25" s="5"/>
      <c r="Y25" s="5"/>
    </row>
    <row r="26" spans="1:25" ht="18" customHeight="1">
      <c r="A26" s="18"/>
      <c r="B26" s="23" t="s">
        <v>21</v>
      </c>
      <c r="C26" s="37" t="s">
        <v>22</v>
      </c>
      <c r="D26" s="38" t="s">
        <v>23</v>
      </c>
      <c r="E26" s="26"/>
      <c r="F26" s="26"/>
      <c r="G26" s="27"/>
      <c r="H26" s="27"/>
      <c r="I26" s="27"/>
      <c r="J26" s="27"/>
      <c r="K26" s="27">
        <v>0.25</v>
      </c>
      <c r="L26" s="28">
        <f>SUM(E26:K26)</f>
        <v>0.25</v>
      </c>
      <c r="M26" s="22">
        <v>0.25</v>
      </c>
      <c r="N26" s="4"/>
      <c r="O26" s="5"/>
      <c r="P26" s="5"/>
      <c r="Q26" s="5"/>
      <c r="R26" s="39"/>
      <c r="S26" s="5"/>
      <c r="T26" s="5"/>
      <c r="U26" s="5"/>
      <c r="V26" s="5"/>
      <c r="W26" s="5"/>
      <c r="X26" s="5"/>
      <c r="Y26" s="5"/>
    </row>
    <row r="27" spans="1:25" ht="4.5" customHeight="1">
      <c r="A27" s="1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1"/>
      <c r="M27" s="22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8" customHeight="1">
      <c r="A28" s="18"/>
      <c r="B28" s="23" t="s">
        <v>21</v>
      </c>
      <c r="C28" s="37" t="s">
        <v>24</v>
      </c>
      <c r="D28" s="38" t="s">
        <v>25</v>
      </c>
      <c r="E28" s="26"/>
      <c r="F28" s="26"/>
      <c r="G28" s="27"/>
      <c r="H28" s="27"/>
      <c r="I28" s="27"/>
      <c r="J28" s="27">
        <v>0.5</v>
      </c>
      <c r="K28" s="27"/>
      <c r="L28" s="28">
        <f>SUM(E28:K28)</f>
        <v>0.5</v>
      </c>
      <c r="M28" s="22">
        <v>0.25</v>
      </c>
      <c r="N28" s="4"/>
      <c r="O28" s="5"/>
      <c r="P28" s="5"/>
      <c r="Q28" s="5"/>
      <c r="R28" s="39"/>
      <c r="S28" s="5"/>
      <c r="T28" s="5"/>
      <c r="U28" s="5"/>
      <c r="V28" s="5"/>
      <c r="W28" s="5"/>
      <c r="X28" s="5"/>
      <c r="Y28" s="5"/>
    </row>
    <row r="29" spans="1:25" ht="4.5" customHeight="1">
      <c r="A29" s="1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1"/>
      <c r="M29" s="22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8" customHeight="1">
      <c r="A30" s="18"/>
      <c r="B30" s="23" t="s">
        <v>21</v>
      </c>
      <c r="C30" s="37" t="s">
        <v>26</v>
      </c>
      <c r="D30" s="38" t="s">
        <v>26</v>
      </c>
      <c r="E30" s="26"/>
      <c r="F30" s="26"/>
      <c r="G30" s="27">
        <v>8</v>
      </c>
      <c r="H30" s="27"/>
      <c r="I30" s="27"/>
      <c r="J30" s="27"/>
      <c r="K30" s="27"/>
      <c r="L30" s="28">
        <f>SUM(E30:K30)</f>
        <v>8</v>
      </c>
      <c r="M30" s="22">
        <v>0.25</v>
      </c>
      <c r="N30" s="4"/>
      <c r="O30" s="5"/>
      <c r="P30" s="5"/>
      <c r="Q30" s="5"/>
      <c r="R30" s="39"/>
      <c r="S30" s="5"/>
      <c r="T30" s="5"/>
      <c r="U30" s="5"/>
      <c r="V30" s="5"/>
      <c r="W30" s="5"/>
      <c r="X30" s="5"/>
      <c r="Y30" s="5"/>
    </row>
    <row r="31" spans="1:25" ht="16.5" customHeight="1">
      <c r="A31" s="6"/>
      <c r="B31" s="73" t="s">
        <v>27</v>
      </c>
      <c r="C31" s="74"/>
      <c r="D31" s="74"/>
      <c r="E31" s="74"/>
      <c r="F31" s="74"/>
      <c r="G31" s="74"/>
      <c r="H31" s="74"/>
      <c r="I31" s="74"/>
      <c r="J31" s="74"/>
      <c r="K31" s="75"/>
      <c r="L31" s="40">
        <f>SUM(L26:L30)</f>
        <v>8.75</v>
      </c>
      <c r="M31" s="35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6.5" customHeight="1">
      <c r="A32" s="6"/>
      <c r="B32" s="41"/>
      <c r="C32" s="42"/>
      <c r="D32" s="43" t="s">
        <v>28</v>
      </c>
      <c r="E32" s="44">
        <f t="shared" ref="E32:K32" si="2">SUM(E6:E30)</f>
        <v>0</v>
      </c>
      <c r="F32" s="44">
        <f t="shared" si="2"/>
        <v>0</v>
      </c>
      <c r="G32" s="44">
        <f t="shared" si="2"/>
        <v>8</v>
      </c>
      <c r="H32" s="44">
        <f t="shared" si="2"/>
        <v>8</v>
      </c>
      <c r="I32" s="44">
        <f t="shared" si="2"/>
        <v>8</v>
      </c>
      <c r="J32" s="44">
        <f t="shared" si="2"/>
        <v>8</v>
      </c>
      <c r="K32" s="44">
        <f t="shared" si="2"/>
        <v>0.25</v>
      </c>
      <c r="L32" s="40">
        <f>SUM(E32:K32)</f>
        <v>32.25</v>
      </c>
      <c r="M32" s="45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6.5" customHeight="1">
      <c r="A33" s="9"/>
      <c r="B33" s="46" t="s">
        <v>29</v>
      </c>
      <c r="C33" s="46"/>
      <c r="D33" s="46"/>
      <c r="E33" s="46"/>
      <c r="F33" s="46"/>
      <c r="G33" s="47"/>
      <c r="H33" s="47"/>
      <c r="I33" s="48"/>
      <c r="J33" s="48"/>
      <c r="K33" s="49"/>
      <c r="L33" s="50"/>
      <c r="M33" s="45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6.5" customHeight="1">
      <c r="A34" s="6"/>
      <c r="B34" s="76" t="s">
        <v>30</v>
      </c>
      <c r="C34" s="52"/>
      <c r="D34" s="79" t="s">
        <v>31</v>
      </c>
      <c r="E34" s="74"/>
      <c r="F34" s="80"/>
      <c r="G34" s="67" t="s">
        <v>32</v>
      </c>
      <c r="H34" s="68"/>
      <c r="I34" s="68"/>
      <c r="J34" s="69"/>
      <c r="K34" s="70">
        <f>L31+L24+L22+L20</f>
        <v>32.25</v>
      </c>
      <c r="L34" s="65"/>
      <c r="M34" s="53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6.5" customHeight="1">
      <c r="A35" s="6"/>
      <c r="B35" s="77"/>
      <c r="C35" s="54"/>
      <c r="D35" s="81"/>
      <c r="E35" s="82"/>
      <c r="F35" s="83"/>
      <c r="G35" s="63" t="s">
        <v>33</v>
      </c>
      <c r="H35" s="64"/>
      <c r="I35" s="64"/>
      <c r="J35" s="65"/>
      <c r="K35" s="66">
        <v>0</v>
      </c>
      <c r="L35" s="65"/>
      <c r="M35" s="53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6.5" customHeight="1">
      <c r="A36" s="6"/>
      <c r="B36" s="78"/>
      <c r="C36" s="55"/>
      <c r="D36" s="81"/>
      <c r="E36" s="82"/>
      <c r="F36" s="83"/>
      <c r="G36" s="63" t="s">
        <v>34</v>
      </c>
      <c r="H36" s="64"/>
      <c r="I36" s="64"/>
      <c r="J36" s="65"/>
      <c r="K36" s="66">
        <v>0</v>
      </c>
      <c r="L36" s="65"/>
      <c r="M36" s="56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6.5" customHeight="1">
      <c r="A37" s="6"/>
      <c r="B37" s="51" t="s">
        <v>35</v>
      </c>
      <c r="C37" s="57">
        <f>C3</f>
        <v>45555</v>
      </c>
      <c r="D37" s="84"/>
      <c r="E37" s="85"/>
      <c r="F37" s="86"/>
      <c r="G37" s="67" t="s">
        <v>36</v>
      </c>
      <c r="H37" s="68"/>
      <c r="I37" s="68"/>
      <c r="J37" s="69"/>
      <c r="K37" s="70">
        <f>K34+K35+K36</f>
        <v>32.25</v>
      </c>
      <c r="L37" s="65"/>
      <c r="M37" s="56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6.5" customHeight="1">
      <c r="A38" s="58"/>
      <c r="B38" s="59"/>
      <c r="C38" s="60"/>
      <c r="D38" s="60"/>
      <c r="E38" s="61"/>
      <c r="F38" s="61"/>
      <c r="G38" s="61"/>
      <c r="H38" s="61"/>
      <c r="I38" s="61"/>
      <c r="J38" s="61"/>
      <c r="K38" s="58"/>
      <c r="L38" s="58"/>
      <c r="M38" s="62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</sheetData>
  <mergeCells count="21">
    <mergeCell ref="C2:L2"/>
    <mergeCell ref="C3:L3"/>
    <mergeCell ref="B4:B5"/>
    <mergeCell ref="L4:L5"/>
    <mergeCell ref="B20:K20"/>
    <mergeCell ref="B21:C21"/>
    <mergeCell ref="B22:K22"/>
    <mergeCell ref="G34:J34"/>
    <mergeCell ref="G35:J35"/>
    <mergeCell ref="K35:L35"/>
    <mergeCell ref="G36:J36"/>
    <mergeCell ref="K36:L36"/>
    <mergeCell ref="G37:J37"/>
    <mergeCell ref="K37:L37"/>
    <mergeCell ref="B23:C23"/>
    <mergeCell ref="B24:K24"/>
    <mergeCell ref="B25:C25"/>
    <mergeCell ref="B31:K31"/>
    <mergeCell ref="B34:B36"/>
    <mergeCell ref="D34:F37"/>
    <mergeCell ref="K34:L3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Ball</cp:lastModifiedBy>
  <dcterms:modified xsi:type="dcterms:W3CDTF">2026-01-15T23:15:50Z</dcterms:modified>
</cp:coreProperties>
</file>